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<sst xmlns="http://schemas.openxmlformats.org/spreadsheetml/2006/main" count="47" uniqueCount="45">
  <si>
    <t xml:space="preserve">Ejerforeningen Hjortholms Allé 36</t>
  </si>
  <si>
    <t xml:space="preserve">Hjortholms Allé 36, 2400 København NV — månedligt budget, fællesudgifter (DKK)</t>
  </si>
  <si>
    <t xml:space="preserve">Forudsætninger (fordelingstal)</t>
  </si>
  <si>
    <t xml:space="preserve">Lejlighed 1</t>
  </si>
  <si>
    <t xml:space="preserve">Lejlighed 2</t>
  </si>
  <si>
    <t xml:space="preserve">Kontrol (skal give 100 %)</t>
  </si>
  <si>
    <t xml:space="preserve">Udgiftspost</t>
  </si>
  <si>
    <t xml:space="preserve">Årligt (kr.)</t>
  </si>
  <si>
    <t xml:space="preserve">Månedligt (kr.)</t>
  </si>
  <si>
    <t xml:space="preserve">Note</t>
  </si>
  <si>
    <t xml:space="preserve">Bygningsforsikring</t>
  </si>
  <si>
    <t xml:space="preserve">Fælles police for hele ejendommen</t>
  </si>
  <si>
    <t xml:space="preserve">Fælles el (udvendigt lys, fælles installationer)</t>
  </si>
  <si>
    <t xml:space="preserve">Fælles vand og vandafledning</t>
  </si>
  <si>
    <t xml:space="preserve">Hvis fælles måler; ellers individuelt</t>
  </si>
  <si>
    <t xml:space="preserve">Skorstensfejning</t>
  </si>
  <si>
    <t xml:space="preserve">Fælles skorsten</t>
  </si>
  <si>
    <t xml:space="preserve">Haveservice og fælles arealer</t>
  </si>
  <si>
    <t xml:space="preserve">Græs, hæk, beplantning</t>
  </si>
  <si>
    <t xml:space="preserve">Snerydning og glatførebekæmpelse</t>
  </si>
  <si>
    <t xml:space="preserve">Adgangsveje, fortov</t>
  </si>
  <si>
    <t xml:space="preserve">Løbende vedligeholdelse</t>
  </si>
  <si>
    <t xml:space="preserve">Småreparationer, service</t>
  </si>
  <si>
    <t xml:space="preserve">Administration og revision</t>
  </si>
  <si>
    <t xml:space="preserve">0 hvis selvadministreret</t>
  </si>
  <si>
    <t xml:space="preserve">Bankgebyrer</t>
  </si>
  <si>
    <t xml:space="preserve">Foreningskonto</t>
  </si>
  <si>
    <t xml:space="preserve">Hensættelse til vedligeholdelsesfond</t>
  </si>
  <si>
    <t xml:space="preserve">Tag, facade, vinduer (langsigtet)</t>
  </si>
  <si>
    <t xml:space="preserve">Diverse / uforudsete udgifter</t>
  </si>
  <si>
    <t xml:space="preserve">Buffer</t>
  </si>
  <si>
    <t xml:space="preserve">Fællesudgifter i alt</t>
  </si>
  <si>
    <t xml:space="preserve">Fordeling af fællesbidrag</t>
  </si>
  <si>
    <t xml:space="preserve">Lejlighed</t>
  </si>
  <si>
    <t xml:space="preserve">Fordelingstal</t>
  </si>
  <si>
    <t xml:space="preserve">Månedligt bidrag (kr.)</t>
  </si>
  <si>
    <t xml:space="preserve">Årligt bidrag (kr.)</t>
  </si>
  <si>
    <t xml:space="preserve">I alt</t>
  </si>
  <si>
    <t xml:space="preserve">Bemærk:</t>
  </si>
  <si>
    <t xml:space="preserve">• Budgettet dækker kun fællesudgifter. Individuelt forbrug (egen el, varme, vand efter bimåler,</t>
  </si>
  <si>
    <t xml:space="preserve">  internet, indboforsikring) og grundskyld betales af hver ejer direkte og indgår ikke.</t>
  </si>
  <si>
    <t xml:space="preserve">• Blå tal er inputs, I kan tilpasse. Sorte tal beregnes automatisk.</t>
  </si>
  <si>
    <t xml:space="preserve">• Gule felter (fordelingstal) er nøgleforudsætninger – ret dem til ejendommens faktiske tal.</t>
  </si>
  <si>
    <t xml:space="preserve">• Eksempel, ikke juridisk eller økonomisk rådgivning. Få en byggesagkyndig til en 10-årig</t>
  </si>
  <si>
    <t xml:space="preserve">  vedligeholdelsesplan og dimensionér hensættelsen til fonden efter den.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</si>
</sst>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#,##0&quot; kr.&quot;;\(#,##0&quot; kr.)&quot;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5F"/>
        <bgColor rgb="FF333333"/>
      </patternFill>
    </fill>
    <fill>
      <patternFill patternType="solid">
        <fgColor rgb="FFD9E2E8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0.55</v>
      </c>
    </row>
    <row r="6" customFormat="false" ht="15" hidden="false" customHeight="false" outlineLevel="0" collapsed="false">
      <c r="A6" s="4" t="s">
        <v>4</v>
      </c>
      <c r="B6" s="5" t="n">
        <v>0.45</v>
      </c>
    </row>
    <row r="7" customFormat="false" ht="15" hidden="false" customHeight="false" outlineLevel="0" collapsed="false">
      <c r="A7" s="6" t="s">
        <v>5</v>
      </c>
      <c r="B7" s="7" t="n">
        <f aca="false">B5+B6</f>
        <v>1</v>
      </c>
    </row>
    <row r="9" customFormat="false" ht="15" hidden="false" customHeight="false" outlineLevel="0" collapsed="false">
      <c r="A9" s="8" t="s">
        <v>6</v>
      </c>
      <c r="B9" s="9" t="s">
        <v>7</v>
      </c>
      <c r="C9" s="9" t="s">
        <v>8</v>
      </c>
      <c r="D9" s="8" t="s">
        <v>9</v>
      </c>
    </row>
    <row r="10" customFormat="false" ht="15" hidden="false" customHeight="false" outlineLevel="0" collapsed="false">
      <c r="A10" s="10" t="s">
        <v>10</v>
      </c>
      <c r="B10" s="11" t="n">
        <v>15000</v>
      </c>
      <c r="C10" s="12" t="n">
        <f aca="false">B10/12</f>
        <v>1250</v>
      </c>
      <c r="D10" s="13" t="s">
        <v>11</v>
      </c>
    </row>
    <row r="11" customFormat="false" ht="15" hidden="false" customHeight="false" outlineLevel="0" collapsed="false">
      <c r="A11" s="10" t="s">
        <v>12</v>
      </c>
      <c r="B11" s="11" t="n">
        <v>1800</v>
      </c>
      <c r="C11" s="12" t="n">
        <f aca="false">B11/12</f>
        <v>150</v>
      </c>
      <c r="D11" s="13"/>
    </row>
    <row r="12" customFormat="false" ht="15" hidden="false" customHeight="false" outlineLevel="0" collapsed="false">
      <c r="A12" s="10" t="s">
        <v>13</v>
      </c>
      <c r="B12" s="11" t="n">
        <v>3600</v>
      </c>
      <c r="C12" s="12" t="n">
        <f aca="false">B12/12</f>
        <v>300</v>
      </c>
      <c r="D12" s="13" t="s">
        <v>14</v>
      </c>
    </row>
    <row r="13" customFormat="false" ht="15" hidden="false" customHeight="false" outlineLevel="0" collapsed="false">
      <c r="A13" s="10" t="s">
        <v>15</v>
      </c>
      <c r="B13" s="11" t="n">
        <v>720</v>
      </c>
      <c r="C13" s="12" t="n">
        <f aca="false">B13/12</f>
        <v>60</v>
      </c>
      <c r="D13" s="13" t="s">
        <v>16</v>
      </c>
    </row>
    <row r="14" customFormat="false" ht="15" hidden="false" customHeight="false" outlineLevel="0" collapsed="false">
      <c r="A14" s="10" t="s">
        <v>17</v>
      </c>
      <c r="B14" s="11" t="n">
        <v>6000</v>
      </c>
      <c r="C14" s="12" t="n">
        <f aca="false">B14/12</f>
        <v>500</v>
      </c>
      <c r="D14" s="13" t="s">
        <v>18</v>
      </c>
    </row>
    <row r="15" customFormat="false" ht="15" hidden="false" customHeight="false" outlineLevel="0" collapsed="false">
      <c r="A15" s="10" t="s">
        <v>19</v>
      </c>
      <c r="B15" s="11" t="n">
        <v>2400</v>
      </c>
      <c r="C15" s="12" t="n">
        <f aca="false">B15/12</f>
        <v>200</v>
      </c>
      <c r="D15" s="13" t="s">
        <v>20</v>
      </c>
    </row>
    <row r="16" customFormat="false" ht="15" hidden="false" customHeight="false" outlineLevel="0" collapsed="false">
      <c r="A16" s="10" t="s">
        <v>21</v>
      </c>
      <c r="B16" s="11" t="n">
        <v>7200</v>
      </c>
      <c r="C16" s="12" t="n">
        <f aca="false">B16/12</f>
        <v>600</v>
      </c>
      <c r="D16" s="13" t="s">
        <v>22</v>
      </c>
    </row>
    <row r="17" customFormat="false" ht="15" hidden="false" customHeight="false" outlineLevel="0" collapsed="false">
      <c r="A17" s="10" t="s">
        <v>23</v>
      </c>
      <c r="B17" s="11" t="n">
        <v>3600</v>
      </c>
      <c r="C17" s="12" t="n">
        <f aca="false">B17/12</f>
        <v>300</v>
      </c>
      <c r="D17" s="13" t="s">
        <v>24</v>
      </c>
    </row>
    <row r="18" customFormat="false" ht="15" hidden="false" customHeight="false" outlineLevel="0" collapsed="false">
      <c r="A18" s="10" t="s">
        <v>25</v>
      </c>
      <c r="B18" s="11" t="n">
        <v>600</v>
      </c>
      <c r="C18" s="12" t="n">
        <f aca="false">B18/12</f>
        <v>50</v>
      </c>
      <c r="D18" s="13" t="s">
        <v>26</v>
      </c>
    </row>
    <row r="19" customFormat="false" ht="15" hidden="false" customHeight="false" outlineLevel="0" collapsed="false">
      <c r="A19" s="10" t="s">
        <v>27</v>
      </c>
      <c r="B19" s="11" t="n">
        <v>24000</v>
      </c>
      <c r="C19" s="12" t="n">
        <f aca="false">B19/12</f>
        <v>2000</v>
      </c>
      <c r="D19" s="13" t="s">
        <v>28</v>
      </c>
    </row>
    <row r="20" customFormat="false" ht="15" hidden="false" customHeight="false" outlineLevel="0" collapsed="false">
      <c r="A20" s="10" t="s">
        <v>29</v>
      </c>
      <c r="B20" s="11" t="n">
        <v>1800</v>
      </c>
      <c r="C20" s="12" t="n">
        <f aca="false">B20/12</f>
        <v>150</v>
      </c>
      <c r="D20" s="13" t="s">
        <v>30</v>
      </c>
    </row>
    <row r="21" customFormat="false" ht="15" hidden="false" customHeight="false" outlineLevel="0" collapsed="false">
      <c r="A21" s="14" t="s">
        <v>31</v>
      </c>
      <c r="B21" s="15" t="n">
        <f aca="false">SUM(B10:B20)</f>
        <v>66720</v>
      </c>
      <c r="C21" s="15" t="n">
        <f aca="false">SUM(C10:C20)</f>
        <v>5560</v>
      </c>
      <c r="D21" s="16"/>
    </row>
    <row r="24" customFormat="false" ht="15" hidden="false" customHeight="false" outlineLevel="0" collapsed="false">
      <c r="A24" s="3" t="s">
        <v>32</v>
      </c>
    </row>
    <row r="25" customFormat="false" ht="15" hidden="false" customHeight="false" outlineLevel="0" collapsed="false">
      <c r="A25" s="8" t="s">
        <v>33</v>
      </c>
      <c r="B25" s="9" t="s">
        <v>34</v>
      </c>
      <c r="C25" s="9" t="s">
        <v>35</v>
      </c>
      <c r="D25" s="9" t="s">
        <v>36</v>
      </c>
    </row>
    <row r="26" customFormat="false" ht="15" hidden="false" customHeight="false" outlineLevel="0" collapsed="false">
      <c r="A26" s="10" t="s">
        <v>3</v>
      </c>
      <c r="B26" s="17" t="n">
        <f aca="false">B5</f>
        <v>0.55</v>
      </c>
      <c r="C26" s="12" t="n">
        <f aca="false">$C$21*B5</f>
        <v>3058</v>
      </c>
      <c r="D26" s="12" t="n">
        <f aca="false">C26*12</f>
        <v>36696</v>
      </c>
    </row>
    <row r="27" customFormat="false" ht="15" hidden="false" customHeight="false" outlineLevel="0" collapsed="false">
      <c r="A27" s="10" t="s">
        <v>4</v>
      </c>
      <c r="B27" s="17" t="n">
        <f aca="false">B6</f>
        <v>0.45</v>
      </c>
      <c r="C27" s="12" t="n">
        <f aca="false">$C$21*B6</f>
        <v>2502</v>
      </c>
      <c r="D27" s="12" t="n">
        <f aca="false">C27*12</f>
        <v>30024</v>
      </c>
    </row>
    <row r="28" customFormat="false" ht="15" hidden="false" customHeight="false" outlineLevel="0" collapsed="false">
      <c r="A28" s="14" t="s">
        <v>37</v>
      </c>
      <c r="B28" s="18" t="n">
        <f aca="false">B26+B27</f>
        <v>1</v>
      </c>
      <c r="C28" s="15" t="n">
        <f aca="false">SUM(C26:C27)</f>
        <v>5560</v>
      </c>
      <c r="D28" s="15" t="n">
        <f aca="false">SUM(D26:D27)</f>
        <v>66720</v>
      </c>
    </row>
    <row r="31" customFormat="false" ht="15" hidden="false" customHeight="false" outlineLevel="0" collapsed="false">
      <c r="A31" s="3" t="s">
        <v>38</v>
      </c>
    </row>
    <row r="32" customFormat="false" ht="15" hidden="false" customHeight="false" outlineLevel="0" collapsed="false">
      <c r="A32" s="6" t="s">
        <v>39</v>
      </c>
    </row>
    <row r="33" customFormat="false" ht="15" hidden="false" customHeight="false" outlineLevel="0" collapsed="false">
      <c r="A33" s="6" t="s">
        <v>40</v>
      </c>
    </row>
    <row r="34" customFormat="false" ht="15" hidden="false" customHeight="false" outlineLevel="0" collapsed="false">
      <c r="A34" s="6" t="s">
        <v>41</v>
      </c>
    </row>
    <row r="35" customFormat="false" ht="15" hidden="false" customHeight="false" outlineLevel="0" collapsed="false">
      <c r="A35" s="6" t="s">
        <v>42</v>
      </c>
    </row>
    <row r="36" customFormat="false" ht="15" hidden="false" customHeight="false" outlineLevel="0" collapsed="false">
      <c r="A36" s="6" t="s">
        <v>43</v>
      </c>
    </row>
    <row r="37" customFormat="false" ht="15" hidden="false" customHeight="false" outlineLevel="0" collapsed="false">
      <c r="A37" s="6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2026-06-14T15:25:38Z</dcterms:created>
  <dc:creator>openpyxl</dc:creator>
  <dc:description/>
  <dc:language>en-US</dc:language>
  <cp:lastModifiedBy/>
  <dcterms:modified xsi:type="dcterms:W3CDTF">2026-06-14T15:25:38Z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